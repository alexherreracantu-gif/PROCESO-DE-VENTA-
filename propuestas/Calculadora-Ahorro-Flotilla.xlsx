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<sst xmlns="http://schemas.openxmlformats.org/spreadsheetml/2006/main" count="84" uniqueCount="74">
  <si>
    <t xml:space="preserve">Calculadora de ahorro de flotilla BYD</t>
  </si>
  <si>
    <t xml:space="preserve">Celdas amarillas con texto azul: datos que cambias con la información del cliente. Todo lo demás se calcula solo.</t>
  </si>
  <si>
    <t xml:space="preserve">Los valores que trae son de EJEMPLO. Confírmalos (ficha técnica, recibo de CFE, precio de gasolina del día) antes de presentar.</t>
  </si>
  <si>
    <t xml:space="preserve">Datos de la flotilla</t>
  </si>
  <si>
    <t xml:space="preserve">Nota o fuente</t>
  </si>
  <si>
    <t xml:space="preserve">Cliente</t>
  </si>
  <si>
    <t xml:space="preserve">Empresa ejemplo</t>
  </si>
  <si>
    <t xml:space="preserve">Nombre del cliente.</t>
  </si>
  <si>
    <t xml:space="preserve">Número de unidades</t>
  </si>
  <si>
    <t xml:space="preserve">Ejemplo.</t>
  </si>
  <si>
    <t xml:space="preserve">Días de uso al mes</t>
  </si>
  <si>
    <t xml:space="preserve">Ejemplo: lunes a sábado.</t>
  </si>
  <si>
    <t xml:space="preserve">Kilómetros por unidad al día</t>
  </si>
  <si>
    <t xml:space="preserve">Pregúntalo al cliente o sácalo de su bitácora de gasolina.</t>
  </si>
  <si>
    <t xml:space="preserve">Vehículo actual (gasolina)</t>
  </si>
  <si>
    <t xml:space="preserve">Rendimiento (km por litro)</t>
  </si>
  <si>
    <t xml:space="preserve">Ejemplo. Usa el real del cliente (litros cargados contra km recorridos).</t>
  </si>
  <si>
    <t xml:space="preserve">Precio de la gasolina ($ por litro)</t>
  </si>
  <si>
    <t xml:space="preserve">Ejemplo: tope de $24 por litro de Magna reportado en Monterrey (Milenio). Verifica el precio del día en Profeco.</t>
  </si>
  <si>
    <t xml:space="preserve">Mantenimiento por unidad al mes ($)</t>
  </si>
  <si>
    <t xml:space="preserve">Ejemplo. Afinaciones, aceite, frenos, prorrateados al mes.</t>
  </si>
  <si>
    <t xml:space="preserve">Precio de un auto de gasolina comparable ($)</t>
  </si>
  <si>
    <t xml:space="preserve">Ejemplo. Lo que el cliente pagaría si compra gasolina; sirve para calcular en cuánto recupera la diferencia.</t>
  </si>
  <si>
    <t xml:space="preserve">BYD propuesto</t>
  </si>
  <si>
    <t xml:space="preserve">Eléctrico</t>
  </si>
  <si>
    <t xml:space="preserve">Híbrido DM-i</t>
  </si>
  <si>
    <t xml:space="preserve">Modelo</t>
  </si>
  <si>
    <t xml:space="preserve">Dolphin Mini</t>
  </si>
  <si>
    <t xml:space="preserve">KING DM-i</t>
  </si>
  <si>
    <t xml:space="preserve">Cambia por el modelo que propones.</t>
  </si>
  <si>
    <t xml:space="preserve">Precio por unidad ($, con IVA)</t>
  </si>
  <si>
    <t xml:space="preserve">Precio público de octubre de 2026. Cámbialo por el precio de flotilla autorizado.</t>
  </si>
  <si>
    <t xml:space="preserve">Consumo eléctrico (kWh por 100 km)</t>
  </si>
  <si>
    <t xml:space="preserve">Ejemplo. Confírmalo en la ficha técnica de cada modelo.</t>
  </si>
  <si>
    <t xml:space="preserve">Precio de la electricidad ($ por kWh)</t>
  </si>
  <si>
    <t xml:space="preserve">Ejemplo. Usa el costo por kWh del recibo de CFE donde se cargarán las unidades.</t>
  </si>
  <si>
    <t xml:space="preserve">Parte de los km en modo eléctrico (híbrido)</t>
  </si>
  <si>
    <t xml:space="preserve">Solo híbrido. Ejemplo: 60% si se cargan cada noche y recorren 100 km al día.</t>
  </si>
  <si>
    <t xml:space="preserve">Rendimiento en modo gasolina (km por litro, híbrido)</t>
  </si>
  <si>
    <t xml:space="preserve">Solo híbrido. Ejemplo; confírmalo en la ficha técnica.</t>
  </si>
  <si>
    <t xml:space="preserve">Ejemplo. Un eléctrico no lleva cambios de aceite ni afinaciones; confirma el plan de servicio en la agencia.</t>
  </si>
  <si>
    <t xml:space="preserve">Resultados por unidad, al mes</t>
  </si>
  <si>
    <t xml:space="preserve">Kilómetros al mes</t>
  </si>
  <si>
    <t xml:space="preserve">Km por día × días de uso.</t>
  </si>
  <si>
    <t xml:space="preserve">Gasolina del vehículo actual</t>
  </si>
  <si>
    <t xml:space="preserve">Km al mes ÷ rendimiento × precio del litro.</t>
  </si>
  <si>
    <t xml:space="preserve">Energía del BYD</t>
  </si>
  <si>
    <t xml:space="preserve">Eléctrico: km × kWh por km × precio del kWh. Híbrido: la parte eléctrica igual, más la parte en gasolina.</t>
  </si>
  <si>
    <t xml:space="preserve">Ahorro en energía</t>
  </si>
  <si>
    <t xml:space="preserve">Ahorro en mantenimiento</t>
  </si>
  <si>
    <t xml:space="preserve">Ahorro total por unidad al mes</t>
  </si>
  <si>
    <t xml:space="preserve">Resultados de la flotilla</t>
  </si>
  <si>
    <t xml:space="preserve">Ahorro al año de toda la flotilla</t>
  </si>
  <si>
    <t xml:space="preserve">Ahorro por unidad × 12 meses × unidades.</t>
  </si>
  <si>
    <t xml:space="preserve">Ahorro en 5 años</t>
  </si>
  <si>
    <t xml:space="preserve">Sin inflación ni aumentos de gasolina: es conservador.</t>
  </si>
  <si>
    <t xml:space="preserve">Inversión de la flotilla</t>
  </si>
  <si>
    <t xml:space="preserve">Precio por unidad × unidades.</t>
  </si>
  <si>
    <t xml:space="preserve">Diferencia de precio contra el auto de gasolina, por unidad</t>
  </si>
  <si>
    <t xml:space="preserve">Si es negativa, el BYD cuesta menos desde el primer día.</t>
  </si>
  <si>
    <t xml:space="preserve">Meses para recuperar la diferencia con el ahorro</t>
  </si>
  <si>
    <t xml:space="preserve">0 = el BYD ya cuesta igual o menos. Un número = meses de ahorro para pagar la diferencia.</t>
  </si>
  <si>
    <t xml:space="preserve">Fiscal (informativo, para empresas)</t>
  </si>
  <si>
    <t xml:space="preserve">Tope deducible por auto eléctrico o híbrido ($)</t>
  </si>
  <si>
    <t xml:space="preserve">Ley del ISR, art. 36, fr. II. Combustión: $175,000.</t>
  </si>
  <si>
    <t xml:space="preserve">Tope deducible por auto de combustión ($)</t>
  </si>
  <si>
    <t xml:space="preserve">Ley del ISR, art. 36, fr. II.</t>
  </si>
  <si>
    <t xml:space="preserve">Tasa de ISR de la empresa</t>
  </si>
  <si>
    <t xml:space="preserve">Personas morales: 30%.</t>
  </si>
  <si>
    <t xml:space="preserve">Valor fiscal aproximado de la deducción extra, por unidad</t>
  </si>
  <si>
    <t xml:space="preserve">Diferencia de topes × tasa de ISR, repartida en los años de deducción. Aproximado: que lo confirme su contador.</t>
  </si>
  <si>
    <t xml:space="preserve">Tope diario si es arrendamiento ($ por día, eléctrico o híbrido)</t>
  </si>
  <si>
    <t xml:space="preserve">Ley del ISR, art. 28, fr. XIII. Combustión: $200 diarios.</t>
  </si>
  <si>
    <t xml:space="preserve">Referencia: BYD México reporta que sus clientes de flotilla recuperan la inversión en 12 a 18 meses por menor costo de operación (Expansión, 21 de mayo de 2026). El resultado real depende del uso.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</si>
</sst>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;\(#,##0\);\-"/>
    <numFmt numFmtId="167" formatCode="#,##0.0;\(#,##0.0\);\-"/>
    <numFmt numFmtId="168" formatCode="\$#,##0.00;&quot;($&quot;#,##0.00\);\-"/>
    <numFmt numFmtId="169" formatCode="\$#,##0;&quot;($&quot;#,##0\);\-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41A"/>
      <name val="Arial"/>
      <family val="0"/>
      <charset val="1"/>
    </font>
    <font>
      <i val="true"/>
      <sz val="9"/>
      <color rgb="FF586070"/>
      <name val="Arial"/>
      <family val="0"/>
      <charset val="1"/>
    </font>
    <font>
      <b val="true"/>
      <sz val="9"/>
      <color rgb="FFB336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114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1141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6FB3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1F1F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F1FC"/>
      <rgbColor rgb="FF660066"/>
      <rgbColor rgb="FFFF8080"/>
      <rgbColor rgb="FF0B6FB3"/>
      <rgbColor rgb="FFD6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070"/>
      <rgbColor rgb="FF969696"/>
      <rgbColor rgb="FF003366"/>
      <rgbColor rgb="FF339966"/>
      <rgbColor rgb="FF11141A"/>
      <rgbColor rgb="FF333300"/>
      <rgbColor rgb="FFB336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9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  <c r="C6" s="8"/>
      <c r="D6" s="9" t="s">
        <v>7</v>
      </c>
    </row>
    <row r="7" customFormat="false" ht="15" hidden="false" customHeight="false" outlineLevel="0" collapsed="false">
      <c r="A7" s="6" t="s">
        <v>8</v>
      </c>
      <c r="B7" s="10" t="n">
        <v>10</v>
      </c>
      <c r="C7" s="8"/>
      <c r="D7" s="9" t="s">
        <v>9</v>
      </c>
    </row>
    <row r="8" customFormat="false" ht="15" hidden="false" customHeight="false" outlineLevel="0" collapsed="false">
      <c r="A8" s="6" t="s">
        <v>10</v>
      </c>
      <c r="B8" s="10" t="n">
        <v>24</v>
      </c>
      <c r="C8" s="8"/>
      <c r="D8" s="9" t="s">
        <v>11</v>
      </c>
    </row>
    <row r="9" customFormat="false" ht="15" hidden="false" customHeight="false" outlineLevel="0" collapsed="false">
      <c r="A9" s="6" t="s">
        <v>12</v>
      </c>
      <c r="B9" s="10" t="n">
        <v>100</v>
      </c>
      <c r="C9" s="8"/>
      <c r="D9" s="9" t="s">
        <v>13</v>
      </c>
    </row>
    <row r="10" customFormat="false" ht="15" hidden="false" customHeight="false" outlineLevel="0" collapsed="false">
      <c r="A10" s="11"/>
      <c r="B10" s="11"/>
      <c r="C10" s="11"/>
      <c r="D10" s="12"/>
    </row>
    <row r="11" customFormat="false" ht="15" hidden="false" customHeight="false" outlineLevel="0" collapsed="false">
      <c r="A11" s="4" t="s">
        <v>14</v>
      </c>
      <c r="B11" s="4"/>
      <c r="C11" s="4"/>
      <c r="D11" s="5" t="s">
        <v>4</v>
      </c>
    </row>
    <row r="12" customFormat="false" ht="15" hidden="false" customHeight="false" outlineLevel="0" collapsed="false">
      <c r="A12" s="6" t="s">
        <v>15</v>
      </c>
      <c r="B12" s="13" t="n">
        <v>12</v>
      </c>
      <c r="C12" s="8"/>
      <c r="D12" s="9" t="s">
        <v>16</v>
      </c>
    </row>
    <row r="13" customFormat="false" ht="22.35" hidden="false" customHeight="false" outlineLevel="0" collapsed="false">
      <c r="A13" s="6" t="s">
        <v>17</v>
      </c>
      <c r="B13" s="14" t="n">
        <v>24</v>
      </c>
      <c r="C13" s="8"/>
      <c r="D13" s="9" t="s">
        <v>18</v>
      </c>
    </row>
    <row r="14" customFormat="false" ht="15" hidden="false" customHeight="false" outlineLevel="0" collapsed="false">
      <c r="A14" s="6" t="s">
        <v>19</v>
      </c>
      <c r="B14" s="15" t="n">
        <v>1500</v>
      </c>
      <c r="C14" s="8"/>
      <c r="D14" s="9" t="s">
        <v>20</v>
      </c>
    </row>
    <row r="15" customFormat="false" ht="22.35" hidden="false" customHeight="false" outlineLevel="0" collapsed="false">
      <c r="A15" s="6" t="s">
        <v>21</v>
      </c>
      <c r="B15" s="15" t="n">
        <v>400000</v>
      </c>
      <c r="C15" s="8"/>
      <c r="D15" s="9" t="s">
        <v>22</v>
      </c>
    </row>
    <row r="16" customFormat="false" ht="15" hidden="false" customHeight="false" outlineLevel="0" collapsed="false">
      <c r="A16" s="11"/>
      <c r="B16" s="11"/>
      <c r="C16" s="11"/>
      <c r="D16" s="12"/>
    </row>
    <row r="17" customFormat="false" ht="15" hidden="false" customHeight="false" outlineLevel="0" collapsed="false">
      <c r="A17" s="4" t="s">
        <v>23</v>
      </c>
      <c r="B17" s="4" t="s">
        <v>24</v>
      </c>
      <c r="C17" s="4" t="s">
        <v>25</v>
      </c>
      <c r="D17" s="5" t="s">
        <v>4</v>
      </c>
    </row>
    <row r="18" customFormat="false" ht="15" hidden="false" customHeight="false" outlineLevel="0" collapsed="false">
      <c r="A18" s="6" t="s">
        <v>26</v>
      </c>
      <c r="B18" s="7" t="s">
        <v>27</v>
      </c>
      <c r="C18" s="7" t="s">
        <v>28</v>
      </c>
      <c r="D18" s="9" t="s">
        <v>29</v>
      </c>
    </row>
    <row r="19" customFormat="false" ht="15" hidden="false" customHeight="false" outlineLevel="0" collapsed="false">
      <c r="A19" s="6" t="s">
        <v>30</v>
      </c>
      <c r="B19" s="15" t="n">
        <v>399800</v>
      </c>
      <c r="C19" s="15" t="n">
        <v>524900</v>
      </c>
      <c r="D19" s="9" t="s">
        <v>31</v>
      </c>
    </row>
    <row r="20" customFormat="false" ht="15" hidden="false" customHeight="false" outlineLevel="0" collapsed="false">
      <c r="A20" s="6" t="s">
        <v>32</v>
      </c>
      <c r="B20" s="13" t="n">
        <v>12</v>
      </c>
      <c r="C20" s="13" t="n">
        <v>15</v>
      </c>
      <c r="D20" s="9" t="s">
        <v>33</v>
      </c>
    </row>
    <row r="21" customFormat="false" ht="15" hidden="false" customHeight="false" outlineLevel="0" collapsed="false">
      <c r="A21" s="6" t="s">
        <v>34</v>
      </c>
      <c r="B21" s="14" t="n">
        <v>3</v>
      </c>
      <c r="C21" s="14" t="n">
        <v>3</v>
      </c>
      <c r="D21" s="9" t="s">
        <v>35</v>
      </c>
    </row>
    <row r="22" customFormat="false" ht="15" hidden="false" customHeight="false" outlineLevel="0" collapsed="false">
      <c r="A22" s="6" t="s">
        <v>36</v>
      </c>
      <c r="B22" s="8"/>
      <c r="C22" s="16" t="n">
        <v>0.6</v>
      </c>
      <c r="D22" s="9" t="s">
        <v>37</v>
      </c>
    </row>
    <row r="23" customFormat="false" ht="15" hidden="false" customHeight="false" outlineLevel="0" collapsed="false">
      <c r="A23" s="6" t="s">
        <v>38</v>
      </c>
      <c r="B23" s="8"/>
      <c r="C23" s="13" t="n">
        <v>22</v>
      </c>
      <c r="D23" s="9" t="s">
        <v>39</v>
      </c>
    </row>
    <row r="24" customFormat="false" ht="22.35" hidden="false" customHeight="false" outlineLevel="0" collapsed="false">
      <c r="A24" s="6" t="s">
        <v>19</v>
      </c>
      <c r="B24" s="15" t="n">
        <v>500</v>
      </c>
      <c r="C24" s="15" t="n">
        <v>900</v>
      </c>
      <c r="D24" s="9" t="s">
        <v>40</v>
      </c>
    </row>
    <row r="25" customFormat="false" ht="15" hidden="false" customHeight="false" outlineLevel="0" collapsed="false">
      <c r="A25" s="11"/>
      <c r="B25" s="11"/>
      <c r="C25" s="11"/>
      <c r="D25" s="12"/>
    </row>
    <row r="26" customFormat="false" ht="15" hidden="false" customHeight="false" outlineLevel="0" collapsed="false">
      <c r="A26" s="4" t="s">
        <v>41</v>
      </c>
      <c r="B26" s="4" t="s">
        <v>24</v>
      </c>
      <c r="C26" s="4" t="s">
        <v>25</v>
      </c>
      <c r="D26" s="5" t="s">
        <v>4</v>
      </c>
    </row>
    <row r="27" customFormat="false" ht="15" hidden="false" customHeight="false" outlineLevel="0" collapsed="false">
      <c r="A27" s="6" t="s">
        <v>42</v>
      </c>
      <c r="B27" s="17" t="n">
        <f aca="false">$B$9*$B$8</f>
        <v>2400</v>
      </c>
      <c r="C27" s="17" t="n">
        <f aca="false">$B$9*$B$8</f>
        <v>2400</v>
      </c>
      <c r="D27" s="9" t="s">
        <v>43</v>
      </c>
    </row>
    <row r="28" customFormat="false" ht="15" hidden="false" customHeight="false" outlineLevel="0" collapsed="false">
      <c r="A28" s="6" t="s">
        <v>44</v>
      </c>
      <c r="B28" s="18" t="n">
        <f aca="false">IF($B$12&gt;0,B27/$B$12*$B$13,0)</f>
        <v>4800</v>
      </c>
      <c r="C28" s="18" t="n">
        <f aca="false">IF($B$12&gt;0,C27/$B$12*$B$13,0)</f>
        <v>4800</v>
      </c>
      <c r="D28" s="9" t="s">
        <v>45</v>
      </c>
    </row>
    <row r="29" customFormat="false" ht="22.35" hidden="false" customHeight="false" outlineLevel="0" collapsed="false">
      <c r="A29" s="6" t="s">
        <v>46</v>
      </c>
      <c r="B29" s="18" t="n">
        <f aca="false">B27*B20/100*B21</f>
        <v>864</v>
      </c>
      <c r="C29" s="18" t="n">
        <f aca="false">C27*C22*C20/100*C21+IF(C23&gt;0,C27*(1-C22)/C23*$B$13,0)</f>
        <v>1695.27272727273</v>
      </c>
      <c r="D29" s="9" t="s">
        <v>47</v>
      </c>
    </row>
    <row r="30" customFormat="false" ht="15" hidden="false" customHeight="false" outlineLevel="0" collapsed="false">
      <c r="A30" s="6" t="s">
        <v>48</v>
      </c>
      <c r="B30" s="18" t="n">
        <f aca="false">B28-B29</f>
        <v>3936</v>
      </c>
      <c r="C30" s="18" t="n">
        <f aca="false">C28-C29</f>
        <v>3104.72727272727</v>
      </c>
      <c r="D30" s="9"/>
    </row>
    <row r="31" customFormat="false" ht="15" hidden="false" customHeight="false" outlineLevel="0" collapsed="false">
      <c r="A31" s="6" t="s">
        <v>49</v>
      </c>
      <c r="B31" s="18" t="n">
        <f aca="false">$B$14-B24</f>
        <v>1000</v>
      </c>
      <c r="C31" s="18" t="n">
        <f aca="false">$B$14-C24</f>
        <v>600</v>
      </c>
      <c r="D31" s="9"/>
    </row>
    <row r="32" customFormat="false" ht="15" hidden="false" customHeight="false" outlineLevel="0" collapsed="false">
      <c r="A32" s="19" t="s">
        <v>50</v>
      </c>
      <c r="B32" s="20" t="n">
        <f aca="false">B30+B31</f>
        <v>4936</v>
      </c>
      <c r="C32" s="20" t="n">
        <f aca="false">C30+C31</f>
        <v>3704.72727272727</v>
      </c>
      <c r="D32" s="9"/>
    </row>
    <row r="33" customFormat="false" ht="15" hidden="false" customHeight="false" outlineLevel="0" collapsed="false">
      <c r="A33" s="11"/>
      <c r="B33" s="11"/>
      <c r="C33" s="11"/>
      <c r="D33" s="12"/>
    </row>
    <row r="34" customFormat="false" ht="15" hidden="false" customHeight="false" outlineLevel="0" collapsed="false">
      <c r="A34" s="4" t="s">
        <v>51</v>
      </c>
      <c r="B34" s="4" t="s">
        <v>24</v>
      </c>
      <c r="C34" s="4" t="s">
        <v>25</v>
      </c>
      <c r="D34" s="5" t="s">
        <v>4</v>
      </c>
    </row>
    <row r="35" customFormat="false" ht="15" hidden="false" customHeight="false" outlineLevel="0" collapsed="false">
      <c r="A35" s="19" t="s">
        <v>52</v>
      </c>
      <c r="B35" s="20" t="n">
        <f aca="false">B32*12*$B$7</f>
        <v>592320</v>
      </c>
      <c r="C35" s="20" t="n">
        <f aca="false">C32*12*$B$7</f>
        <v>444567.272727273</v>
      </c>
      <c r="D35" s="9" t="s">
        <v>53</v>
      </c>
    </row>
    <row r="36" customFormat="false" ht="15" hidden="false" customHeight="false" outlineLevel="0" collapsed="false">
      <c r="A36" s="6" t="s">
        <v>54</v>
      </c>
      <c r="B36" s="18" t="n">
        <f aca="false">B35*5</f>
        <v>2961600</v>
      </c>
      <c r="C36" s="18" t="n">
        <f aca="false">C35*5</f>
        <v>2222836.36363636</v>
      </c>
      <c r="D36" s="9" t="s">
        <v>55</v>
      </c>
    </row>
    <row r="37" customFormat="false" ht="15" hidden="false" customHeight="false" outlineLevel="0" collapsed="false">
      <c r="A37" s="6" t="s">
        <v>56</v>
      </c>
      <c r="B37" s="18" t="n">
        <f aca="false">B19*$B$7</f>
        <v>3998000</v>
      </c>
      <c r="C37" s="18" t="n">
        <f aca="false">C19*$B$7</f>
        <v>5249000</v>
      </c>
      <c r="D37" s="9" t="s">
        <v>57</v>
      </c>
    </row>
    <row r="38" customFormat="false" ht="15" hidden="false" customHeight="false" outlineLevel="0" collapsed="false">
      <c r="A38" s="6" t="s">
        <v>58</v>
      </c>
      <c r="B38" s="18" t="n">
        <f aca="false">B19-$B$15</f>
        <v>-200</v>
      </c>
      <c r="C38" s="18" t="n">
        <f aca="false">C19-$B$15</f>
        <v>124900</v>
      </c>
      <c r="D38" s="9" t="s">
        <v>59</v>
      </c>
    </row>
    <row r="39" customFormat="false" ht="15" hidden="false" customHeight="false" outlineLevel="0" collapsed="false">
      <c r="A39" s="19" t="s">
        <v>60</v>
      </c>
      <c r="B39" s="21" t="n">
        <f aca="false">IF(B38&lt;=0,0,IF(B32&gt;0,B38/B32,"Sin ahorro"))</f>
        <v>0</v>
      </c>
      <c r="C39" s="21" t="n">
        <f aca="false">IF(C38&lt;=0,0,IF(C32&gt;0,C38/C32,"Sin ahorro"))</f>
        <v>33.7136827640361</v>
      </c>
      <c r="D39" s="9" t="s">
        <v>61</v>
      </c>
    </row>
    <row r="40" customFormat="false" ht="15" hidden="false" customHeight="false" outlineLevel="0" collapsed="false">
      <c r="A40" s="11"/>
      <c r="B40" s="11"/>
      <c r="C40" s="11"/>
      <c r="D40" s="12"/>
    </row>
    <row r="41" customFormat="false" ht="15" hidden="false" customHeight="false" outlineLevel="0" collapsed="false">
      <c r="A41" s="4" t="s">
        <v>62</v>
      </c>
      <c r="B41" s="4"/>
      <c r="C41" s="4"/>
      <c r="D41" s="5" t="s">
        <v>4</v>
      </c>
    </row>
    <row r="42" customFormat="false" ht="15" hidden="false" customHeight="false" outlineLevel="0" collapsed="false">
      <c r="A42" s="6" t="s">
        <v>63</v>
      </c>
      <c r="B42" s="15" t="n">
        <v>250000</v>
      </c>
      <c r="C42" s="8"/>
      <c r="D42" s="9" t="s">
        <v>64</v>
      </c>
    </row>
    <row r="43" customFormat="false" ht="15" hidden="false" customHeight="false" outlineLevel="0" collapsed="false">
      <c r="A43" s="6" t="s">
        <v>65</v>
      </c>
      <c r="B43" s="15" t="n">
        <v>175000</v>
      </c>
      <c r="C43" s="8"/>
      <c r="D43" s="9" t="s">
        <v>66</v>
      </c>
    </row>
    <row r="44" customFormat="false" ht="15" hidden="false" customHeight="false" outlineLevel="0" collapsed="false">
      <c r="A44" s="6" t="s">
        <v>67</v>
      </c>
      <c r="B44" s="16" t="n">
        <v>0.3</v>
      </c>
      <c r="C44" s="8"/>
      <c r="D44" s="9" t="s">
        <v>68</v>
      </c>
    </row>
    <row r="45" customFormat="false" ht="22.35" hidden="false" customHeight="false" outlineLevel="0" collapsed="false">
      <c r="A45" s="19" t="s">
        <v>69</v>
      </c>
      <c r="B45" s="20" t="n">
        <f aca="false">(B42-B43)*B44</f>
        <v>22500</v>
      </c>
      <c r="C45" s="8"/>
      <c r="D45" s="9" t="s">
        <v>70</v>
      </c>
    </row>
    <row r="46" customFormat="false" ht="15" hidden="false" customHeight="false" outlineLevel="0" collapsed="false">
      <c r="A46" s="6" t="s">
        <v>71</v>
      </c>
      <c r="B46" s="15" t="n">
        <v>285</v>
      </c>
      <c r="C46" s="8"/>
      <c r="D46" s="9" t="s">
        <v>72</v>
      </c>
    </row>
    <row r="47" customFormat="false" ht="15" hidden="false" customHeight="false" outlineLevel="0" collapsed="false">
      <c r="A47" s="11"/>
      <c r="B47" s="11"/>
      <c r="C47" s="11"/>
      <c r="D47" s="12"/>
    </row>
    <row r="48" customFormat="false" ht="27.75" hidden="false" customHeight="true" outlineLevel="0" collapsed="false">
      <c r="A48" s="22" t="s">
        <v>73</v>
      </c>
      <c r="B48" s="22"/>
      <c r="C48" s="22"/>
      <c r="D48" s="22"/>
    </row>
  </sheetData>
  <mergeCells count="1">
    <mergeCell ref="A48:D4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2026-10-13T00:54:10Z</dcterms:created>
  <dc:creator>openpyxl</dc:creator>
  <dc:description/>
  <dc:language>en-US</dc:language>
  <cp:lastModifiedBy/>
  <dcterms:modified xsi:type="dcterms:W3CDTF">2026-10-13T00:54:10Z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